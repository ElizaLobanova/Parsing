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600" windowHeight="9120" tabRatio="600" firstSheet="0" activeTab="0" autoFilterDateGrouping="1"/>
  </bookViews>
  <sheets>
    <sheet name="TDSheet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Arial"/>
      <sz val="8"/>
    </font>
    <font>
      <name val="Arial"/>
      <family val="2"/>
      <b val="1"/>
      <color rgb="FF594304"/>
      <sz val="8"/>
    </font>
  </fonts>
  <fills count="8">
    <fill>
      <patternFill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FE4B5"/>
        <bgColor auto="1"/>
      </patternFill>
    </fill>
    <fill>
      <patternFill patternType="solid">
        <fgColor rgb="FFFFFBF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wrapText="1"/>
    </xf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/>
    </xf>
    <xf numFmtId="0" fontId="0" fillId="4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AN28"/>
  <sheetViews>
    <sheetView tabSelected="1" workbookViewId="0">
      <selection activeCell="B2" sqref="B2"/>
    </sheetView>
  </sheetViews>
  <sheetFormatPr baseColWidth="8" defaultColWidth="10.4140625" defaultRowHeight="11.45" customHeight="1"/>
  <cols>
    <col width="35.75" customWidth="1" style="2" min="1" max="1"/>
    <col width="23.4140625" bestFit="1" customWidth="1" style="1" min="2" max="2"/>
    <col width="19.1640625" customWidth="1" style="1" min="3" max="40"/>
  </cols>
  <sheetData>
    <row r="1" ht="56" customHeight="1">
      <c r="A1" s="3" t="inlineStr">
        <is>
          <t>Номенклатура</t>
        </is>
      </c>
      <c r="B1" s="4" t="inlineStr">
        <is>
          <t>^Бук. Арт.</t>
        </is>
      </c>
      <c r="C1" s="3" t="inlineStr">
        <is>
          <t>СТАТУС</t>
        </is>
      </c>
      <c r="D1" s="3" t="inlineStr">
        <is>
          <t>СТЕКЛО ДВЕРЦЫ С ЗАЩИТОЙ ОТ УФ-ЛУЧЕЙ</t>
        </is>
      </c>
      <c r="E1" s="3" t="inlineStr">
        <is>
          <t>СТИЛЬ</t>
        </is>
      </c>
      <c r="F1" s="3" t="inlineStr">
        <is>
          <t>СТРАНА ПРОИЗВОДСТВА</t>
        </is>
      </c>
      <c r="G1" s="3" t="inlineStr">
        <is>
          <t>СУММА ОБЪЕМОВ ХОЛОДИЛЬНОГО ОТДЕЛЕНИЯ И НЕЗАМЕРЗАЮЩЕГО ОТДЕЛЕНИЯ</t>
        </is>
      </c>
      <c r="H1" s="3" t="inlineStr">
        <is>
          <t>ТЕМПЕРАТУРНЫЕ ЗОНЫ (винный шкаф)</t>
        </is>
      </c>
      <c r="I1" s="3" t="inlineStr">
        <is>
          <t>ТИП</t>
        </is>
      </c>
      <c r="J1" s="3" t="inlineStr">
        <is>
          <t>ТИП ВИННОГО ШКАФА</t>
        </is>
      </c>
      <c r="K1" s="3" t="inlineStr">
        <is>
          <t>ТИП ВНУТРЕННЕЙ ПОДСВЕТКИ</t>
        </is>
      </c>
      <c r="L1" s="3" t="inlineStr">
        <is>
          <t>ТИП КОМПРЕССОРА</t>
        </is>
      </c>
      <c r="M1" s="3" t="inlineStr">
        <is>
          <t>ТИП КОНТРОЛЯ ТЕМПЕРАТУРЫ</t>
        </is>
      </c>
      <c r="N1" s="3" t="inlineStr">
        <is>
          <t>ТИП НЕРЖ. СТАЛИ ДВЕРИ</t>
        </is>
      </c>
      <c r="O1" s="3" t="inlineStr">
        <is>
          <t>ТИП ОХЛАЖДЕНИЯ</t>
        </is>
      </c>
      <c r="P1" s="3" t="inlineStr">
        <is>
          <t>ТИП ОХЛАЖДЕНИЯ</t>
        </is>
      </c>
      <c r="Q1" s="3" t="inlineStr">
        <is>
          <t>ТИП ПЕТЕЛЬ (ШАРНИРА)</t>
        </is>
      </c>
      <c r="R1" s="3" t="inlineStr">
        <is>
          <t>ТИП СТЕКЛА</t>
        </is>
      </c>
      <c r="S1" s="3" t="inlineStr">
        <is>
          <t>ТИП УСТАНОВКИ (КБТ)</t>
        </is>
      </c>
      <c r="T1" s="3" t="inlineStr">
        <is>
          <t>УПРАВЛЕНИЕ</t>
        </is>
      </c>
      <c r="U1" s="3" t="inlineStr">
        <is>
          <t>УПРАВЛЕНИЕ</t>
        </is>
      </c>
      <c r="V1" s="3" t="inlineStr">
        <is>
          <t>УРОВЕНЬ ШУМА</t>
        </is>
      </c>
      <c r="W1" s="3" t="inlineStr">
        <is>
          <t>УРОВЕНЬ ШУМА (ДБ)</t>
        </is>
      </c>
      <c r="X1" s="3" t="inlineStr">
        <is>
          <t>УСТАНОВКА</t>
        </is>
      </c>
      <c r="Y1" s="3" t="inlineStr">
        <is>
          <t>ФИЛЬТР УГОЛЬНЫЙ</t>
        </is>
      </c>
      <c r="Z1" s="3" t="inlineStr">
        <is>
          <t>ФУНКЦИИ НА ДИСПЛЕЕ</t>
        </is>
      </c>
      <c r="AA1" s="3" t="inlineStr">
        <is>
          <t>ФУРНИТУРА</t>
        </is>
      </c>
      <c r="AB1" s="3" t="inlineStr">
        <is>
          <t>ЦВЕТ</t>
        </is>
      </c>
      <c r="AC1" s="3" t="inlineStr">
        <is>
          <t>ЦВЕТ БОКОВИН</t>
        </is>
      </c>
      <c r="AD1" s="3" t="inlineStr">
        <is>
          <t>ЦВЕТ ПО КАТАЛОГУ (для характеристик на сайте)</t>
        </is>
      </c>
      <c r="AE1" s="3" t="inlineStr">
        <is>
          <t>ЦВЕТ РУЧЕК</t>
        </is>
      </c>
      <c r="AF1" s="3" t="inlineStr">
        <is>
          <t>ЦВЕТ СТЕКЛА</t>
        </is>
      </c>
      <c r="AG1" s="3" t="inlineStr">
        <is>
          <t>ЦВЕТ ФИЛЬТР (для сайта, условный)</t>
        </is>
      </c>
      <c r="AH1" s="3" t="inlineStr">
        <is>
          <t>ЦИФРОВОЙ ТЕРМОМЕТР</t>
        </is>
      </c>
      <c r="AI1" s="3" t="inlineStr">
        <is>
          <t>ЧАСТОТА</t>
        </is>
      </c>
      <c r="AJ1" s="3" t="inlineStr">
        <is>
          <t>ЧАСТОТА (ГЦ)</t>
        </is>
      </c>
      <c r="AK1" s="3" t="inlineStr">
        <is>
          <t>ШИРИНА (СМ)</t>
        </is>
      </c>
      <c r="AL1" s="3" t="inlineStr">
        <is>
          <t>ШИРИНА КБТ (условная)</t>
        </is>
      </c>
      <c r="AM1" s="3" t="inlineStr">
        <is>
          <t>ШИРИНА С ДВЕРЦЕЙ, ОТКРЫТОЙ НА 90° (ММ)</t>
        </is>
      </c>
      <c r="AN1" s="3" t="inlineStr">
        <is>
          <t>ЭСТЕТИКА</t>
        </is>
      </c>
    </row>
    <row r="2" ht="33" customHeight="1">
      <c r="A2" s="5" t="inlineStr">
        <is>
          <t>SMEG  Винный шкаф CVI621NR3 45см открывание PUSH ЧЕРНЫЙ (арт. 8017709318604)</t>
        </is>
      </c>
      <c r="B2" s="6" t="n"/>
      <c r="C2" s="8" t="inlineStr">
        <is>
          <t>Снято с производства</t>
        </is>
      </c>
      <c r="D2" s="7" t="n"/>
      <c r="E2" s="7" t="n"/>
      <c r="F2" s="7" t="n"/>
      <c r="G2" s="7" t="n"/>
      <c r="H2" s="7" t="n"/>
      <c r="I2" s="8" t="inlineStr">
        <is>
          <t>монотемпературный</t>
        </is>
      </c>
      <c r="J2" s="7" t="n"/>
      <c r="K2" s="7" t="n"/>
      <c r="L2" s="7" t="n"/>
      <c r="M2" s="7" t="n"/>
      <c r="N2" s="7" t="n"/>
      <c r="O2" s="8" t="inlineStr">
        <is>
          <t>компрессорное</t>
        </is>
      </c>
      <c r="P2" s="7" t="n"/>
      <c r="Q2" s="7" t="n"/>
      <c r="R2" s="7" t="n"/>
      <c r="S2" s="7" t="n"/>
      <c r="T2" s="7" t="n"/>
      <c r="U2" s="8" t="inlineStr">
        <is>
          <t>сенсорное</t>
        </is>
      </c>
      <c r="V2" s="7" t="n"/>
      <c r="W2" s="7" t="n"/>
      <c r="X2" s="7" t="n"/>
      <c r="Y2" s="8" t="inlineStr">
        <is>
          <t>да</t>
        </is>
      </c>
      <c r="Z2" s="7" t="n"/>
      <c r="AA2" s="7" t="n"/>
      <c r="AB2" s="8" t="inlineStr">
        <is>
          <t>черный</t>
        </is>
      </c>
      <c r="AC2" s="7" t="n"/>
      <c r="AD2" s="8" t="inlineStr">
        <is>
          <t>Черный</t>
        </is>
      </c>
      <c r="AE2" s="7" t="n"/>
      <c r="AF2" s="7" t="n"/>
      <c r="AG2" s="8" t="inlineStr">
        <is>
          <t>Черный</t>
        </is>
      </c>
      <c r="AH2" s="7" t="n"/>
      <c r="AI2" s="7" t="n"/>
      <c r="AJ2" s="8" t="inlineStr">
        <is>
          <t>50</t>
        </is>
      </c>
      <c r="AK2" s="8" t="inlineStr">
        <is>
          <t>59.6</t>
        </is>
      </c>
      <c r="AL2" s="7" t="n"/>
      <c r="AM2" s="7" t="n"/>
      <c r="AN2" s="7" t="n"/>
    </row>
    <row r="3" ht="22.05" customHeight="1">
      <c r="A3" s="5" t="inlineStr">
        <is>
          <t>SMEG  Винный шкаф CVI638LN3 82см ЧЕРНОЕ СТЕКЛО (арт. 8017709318604)</t>
        </is>
      </c>
      <c r="B3" s="9" t="inlineStr">
        <is>
          <t>CVI638LN3</t>
        </is>
      </c>
      <c r="C3" s="8" t="inlineStr">
        <is>
          <t>Актуальный ассортимент VARKA</t>
        </is>
      </c>
      <c r="D3" s="7" t="n"/>
      <c r="E3" s="7" t="n"/>
      <c r="F3" s="7" t="n"/>
      <c r="G3" s="7" t="n"/>
      <c r="H3" s="7" t="n"/>
      <c r="I3" s="8" t="inlineStr">
        <is>
          <t>монотемпературный</t>
        </is>
      </c>
      <c r="J3" s="7" t="n"/>
      <c r="K3" s="7" t="n"/>
      <c r="L3" s="7" t="n"/>
      <c r="M3" s="7" t="n"/>
      <c r="N3" s="7" t="n"/>
      <c r="O3" s="8" t="inlineStr">
        <is>
          <t>компрессорное</t>
        </is>
      </c>
      <c r="P3" s="7" t="n"/>
      <c r="Q3" s="7" t="n"/>
      <c r="R3" s="7" t="n"/>
      <c r="S3" s="7" t="n"/>
      <c r="T3" s="7" t="n"/>
      <c r="U3" s="8" t="inlineStr">
        <is>
          <t>сенсорное</t>
        </is>
      </c>
      <c r="V3" s="7" t="n"/>
      <c r="W3" s="7" t="n"/>
      <c r="X3" s="7" t="n"/>
      <c r="Y3" s="8" t="inlineStr">
        <is>
          <t>да</t>
        </is>
      </c>
      <c r="Z3" s="7" t="n"/>
      <c r="AA3" s="7" t="n"/>
      <c r="AB3" s="8" t="inlineStr">
        <is>
          <t>черный</t>
        </is>
      </c>
      <c r="AC3" s="7" t="n"/>
      <c r="AD3" s="8" t="inlineStr">
        <is>
          <t>Черное стекло</t>
        </is>
      </c>
      <c r="AE3" s="7" t="n"/>
      <c r="AF3" s="7" t="n"/>
      <c r="AG3" s="8" t="inlineStr">
        <is>
          <t>Черный</t>
        </is>
      </c>
      <c r="AH3" s="7" t="n"/>
      <c r="AI3" s="7" t="n"/>
      <c r="AJ3" s="8" t="inlineStr">
        <is>
          <t>50</t>
        </is>
      </c>
      <c r="AK3" s="8" t="inlineStr">
        <is>
          <t>59.6</t>
        </is>
      </c>
      <c r="AL3" s="7" t="n"/>
      <c r="AM3" s="7" t="n"/>
      <c r="AN3" s="7" t="n"/>
    </row>
    <row r="4" ht="22.05" customHeight="1">
      <c r="A4" s="5" t="inlineStr">
        <is>
          <t>SMEG  Винный шкаф CVI638RN3 82см ЧЕРНОЕ СТЕКЛО (арт. 8017709318611)</t>
        </is>
      </c>
      <c r="B4" s="9" t="inlineStr">
        <is>
          <t>CVI638RN3</t>
        </is>
      </c>
      <c r="C4" s="8" t="inlineStr">
        <is>
          <t>Актуальный ассортимент VARKA</t>
        </is>
      </c>
      <c r="D4" s="7" t="n"/>
      <c r="E4" s="7" t="n"/>
      <c r="F4" s="8" t="inlineStr">
        <is>
          <t>Италия</t>
        </is>
      </c>
      <c r="G4" s="7" t="n"/>
      <c r="H4" s="8" t="inlineStr">
        <is>
          <t>2 зоны</t>
        </is>
      </c>
      <c r="I4" s="8" t="inlineStr">
        <is>
          <t>монотемпературный</t>
        </is>
      </c>
      <c r="J4" s="7" t="n"/>
      <c r="K4" s="7" t="n"/>
      <c r="L4" s="7" t="n"/>
      <c r="M4" s="7" t="n"/>
      <c r="N4" s="7" t="n"/>
      <c r="O4" s="8" t="inlineStr">
        <is>
          <t>компрессорное</t>
        </is>
      </c>
      <c r="P4" s="7" t="n"/>
      <c r="Q4" s="7" t="n"/>
      <c r="R4" s="7" t="n"/>
      <c r="S4" s="8" t="inlineStr">
        <is>
          <t>Встраиваемый</t>
        </is>
      </c>
      <c r="T4" s="7" t="n"/>
      <c r="U4" s="8" t="inlineStr">
        <is>
          <t>сенсорное</t>
        </is>
      </c>
      <c r="V4" s="7" t="n"/>
      <c r="W4" s="7" t="n"/>
      <c r="X4" s="7" t="n"/>
      <c r="Y4" s="8" t="inlineStr">
        <is>
          <t>да</t>
        </is>
      </c>
      <c r="Z4" s="7" t="n"/>
      <c r="AA4" s="7" t="n"/>
      <c r="AB4" s="8" t="inlineStr">
        <is>
          <t>черный</t>
        </is>
      </c>
      <c r="AC4" s="7" t="n"/>
      <c r="AD4" s="8" t="inlineStr">
        <is>
          <t>Черное стекло</t>
        </is>
      </c>
      <c r="AE4" s="7" t="n"/>
      <c r="AF4" s="7" t="n"/>
      <c r="AG4" s="8" t="inlineStr">
        <is>
          <t>Черный</t>
        </is>
      </c>
      <c r="AH4" s="7" t="n"/>
      <c r="AI4" s="7" t="n"/>
      <c r="AJ4" s="8" t="inlineStr">
        <is>
          <t>50</t>
        </is>
      </c>
      <c r="AK4" s="8" t="inlineStr">
        <is>
          <t>59.6</t>
        </is>
      </c>
      <c r="AL4" s="8" t="inlineStr">
        <is>
          <t>600 мм</t>
        </is>
      </c>
      <c r="AM4" s="7" t="n"/>
      <c r="AN4" s="7" t="n"/>
    </row>
    <row r="5" ht="56" customHeight="1">
      <c r="A5" s="5" t="inlineStr">
        <is>
          <t>SMEG  Винный шкаф встраиваемый CVI138LS3 82 см,38 бут. Linea СЕРЕБ СТЕКЛО (арт. 8017709293895)</t>
        </is>
      </c>
      <c r="B5" s="6" t="n"/>
      <c r="C5" s="8" t="inlineStr">
        <is>
          <t>Временно недоступен</t>
        </is>
      </c>
      <c r="D5" s="8" t="inlineStr">
        <is>
          <t>Да</t>
        </is>
      </c>
      <c r="E5" s="8" t="inlineStr">
        <is>
          <t>Современный</t>
        </is>
      </c>
      <c r="F5" s="8" t="inlineStr">
        <is>
          <t>Италия</t>
        </is>
      </c>
      <c r="G5" s="8" t="inlineStr">
        <is>
          <t>114 л</t>
        </is>
      </c>
      <c r="H5" s="8" t="inlineStr">
        <is>
          <t>2 зоны</t>
        </is>
      </c>
      <c r="I5" s="8" t="inlineStr">
        <is>
          <t>двухтемпературный</t>
        </is>
      </c>
      <c r="J5" s="8" t="inlineStr">
        <is>
          <t>Температурный</t>
        </is>
      </c>
      <c r="K5" s="8" t="inlineStr">
        <is>
          <t>LED</t>
        </is>
      </c>
      <c r="L5" s="8" t="inlineStr">
        <is>
          <t>Компрессор с пониженной выбрацией</t>
        </is>
      </c>
      <c r="M5" s="8" t="inlineStr">
        <is>
          <t>Электронный</t>
        </is>
      </c>
      <c r="N5" s="7" t="n"/>
      <c r="O5" s="7" t="n"/>
      <c r="P5" s="8" t="inlineStr">
        <is>
          <t>Вентилируемый</t>
        </is>
      </c>
      <c r="Q5" s="8" t="inlineStr">
        <is>
          <t>Стандартный</t>
        </is>
      </c>
      <c r="R5" s="8" t="inlineStr">
        <is>
          <t>Стекло Stopsol</t>
        </is>
      </c>
      <c r="S5" s="8" t="inlineStr">
        <is>
          <t>Встраиваемый</t>
        </is>
      </c>
      <c r="T5" s="8" t="inlineStr">
        <is>
          <t>Интерьер отсека для вина</t>
        </is>
      </c>
      <c r="U5" s="8" t="inlineStr">
        <is>
          <t>электронное</t>
        </is>
      </c>
      <c r="V5" s="7" t="n"/>
      <c r="W5" s="7" t="n"/>
      <c r="X5" s="8" t="inlineStr">
        <is>
          <t>Встраиваемый</t>
        </is>
      </c>
      <c r="Y5" s="8" t="inlineStr">
        <is>
          <t>да</t>
        </is>
      </c>
      <c r="Z5" s="8" t="inlineStr">
        <is>
          <t>Акустический сигнал при повышении температуры, Значение температуры</t>
        </is>
      </c>
      <c r="AA5" s="8" t="inlineStr">
        <is>
          <t>Нержавеющая сталь</t>
        </is>
      </c>
      <c r="AB5" s="8" t="inlineStr">
        <is>
          <t>серебристый</t>
        </is>
      </c>
      <c r="AC5" s="7" t="n"/>
      <c r="AD5" s="8" t="inlineStr">
        <is>
          <t>Серебристое стекло</t>
        </is>
      </c>
      <c r="AE5" s="8" t="inlineStr">
        <is>
          <t>Нержавеющая сталь</t>
        </is>
      </c>
      <c r="AF5" s="8" t="inlineStr">
        <is>
          <t>Состаренное серебро</t>
        </is>
      </c>
      <c r="AG5" s="8" t="inlineStr">
        <is>
          <t>Серебристое стекло</t>
        </is>
      </c>
      <c r="AH5" s="7" t="n"/>
      <c r="AI5" s="8" t="inlineStr">
        <is>
          <t>50 Гц</t>
        </is>
      </c>
      <c r="AJ5" s="8" t="inlineStr">
        <is>
          <t>50</t>
        </is>
      </c>
      <c r="AK5" s="8" t="inlineStr">
        <is>
          <t>59.5</t>
        </is>
      </c>
      <c r="AL5" s="8" t="inlineStr">
        <is>
          <t>600 мм</t>
        </is>
      </c>
      <c r="AM5" s="8" t="inlineStr">
        <is>
          <t>693 мм</t>
        </is>
      </c>
      <c r="AN5" s="8" t="inlineStr">
        <is>
          <t>Linea</t>
        </is>
      </c>
    </row>
    <row r="6" ht="56" customHeight="1">
      <c r="A6" s="5" t="inlineStr">
        <is>
          <t>SMEG  Винный шкаф встраиваемый CVI138RS3 82 см,38 бут. Linea СЕРЕБ СТЕКЛО (арт. 8017709293901)</t>
        </is>
      </c>
      <c r="B6" s="9" t="inlineStr">
        <is>
          <t>CVI138RS3</t>
        </is>
      </c>
      <c r="C6" s="8" t="inlineStr">
        <is>
          <t>Актуальный ассортимент VARKA</t>
        </is>
      </c>
      <c r="D6" s="8" t="inlineStr">
        <is>
          <t>Да</t>
        </is>
      </c>
      <c r="E6" s="7" t="n"/>
      <c r="F6" s="8" t="inlineStr">
        <is>
          <t>Италия</t>
        </is>
      </c>
      <c r="G6" s="8" t="inlineStr">
        <is>
          <t>114 л</t>
        </is>
      </c>
      <c r="H6" s="8" t="inlineStr">
        <is>
          <t>2 зоны</t>
        </is>
      </c>
      <c r="I6" s="8" t="inlineStr">
        <is>
          <t>двухтемпературный</t>
        </is>
      </c>
      <c r="J6" s="8" t="inlineStr">
        <is>
          <t>Температурный</t>
        </is>
      </c>
      <c r="K6" s="8" t="inlineStr">
        <is>
          <t>LED</t>
        </is>
      </c>
      <c r="L6" s="8" t="inlineStr">
        <is>
          <t>Компрессор с пониженной выбрацией</t>
        </is>
      </c>
      <c r="M6" s="8" t="inlineStr">
        <is>
          <t>Электронный</t>
        </is>
      </c>
      <c r="N6" s="7" t="n"/>
      <c r="O6" s="7" t="n"/>
      <c r="P6" s="8" t="inlineStr">
        <is>
          <t>Вентилируемый</t>
        </is>
      </c>
      <c r="Q6" s="8" t="inlineStr">
        <is>
          <t>Стандартный</t>
        </is>
      </c>
      <c r="R6" s="8" t="inlineStr">
        <is>
          <t>Стекло Stopsol</t>
        </is>
      </c>
      <c r="S6" s="8" t="inlineStr">
        <is>
          <t>Встраиваемый</t>
        </is>
      </c>
      <c r="T6" s="8" t="inlineStr">
        <is>
          <t>Интерьер отсека для вина</t>
        </is>
      </c>
      <c r="U6" s="8" t="inlineStr">
        <is>
          <t>электронное</t>
        </is>
      </c>
      <c r="V6" s="7" t="n"/>
      <c r="W6" s="8" t="inlineStr">
        <is>
          <t>38</t>
        </is>
      </c>
      <c r="X6" s="8" t="inlineStr">
        <is>
          <t>Встраиваемый</t>
        </is>
      </c>
      <c r="Y6" s="8" t="inlineStr">
        <is>
          <t>да</t>
        </is>
      </c>
      <c r="Z6" s="8" t="inlineStr">
        <is>
          <t>Акустический сигнал при повышении температуры, Значение температуры</t>
        </is>
      </c>
      <c r="AA6" s="8" t="inlineStr">
        <is>
          <t>Нержавеющая сталь</t>
        </is>
      </c>
      <c r="AB6" s="8" t="inlineStr">
        <is>
          <t>серебристый</t>
        </is>
      </c>
      <c r="AC6" s="7" t="n"/>
      <c r="AD6" s="8" t="inlineStr">
        <is>
          <t>Серебристое стекло</t>
        </is>
      </c>
      <c r="AE6" s="8" t="inlineStr">
        <is>
          <t>Нержавеющая сталь</t>
        </is>
      </c>
      <c r="AF6" s="8" t="inlineStr">
        <is>
          <t>Состаренное серебро</t>
        </is>
      </c>
      <c r="AG6" s="8" t="inlineStr">
        <is>
          <t>Серебристое стекло</t>
        </is>
      </c>
      <c r="AH6" s="7" t="n"/>
      <c r="AI6" s="8" t="inlineStr">
        <is>
          <t>50 Гц</t>
        </is>
      </c>
      <c r="AJ6" s="8" t="inlineStr">
        <is>
          <t>50</t>
        </is>
      </c>
      <c r="AK6" s="8" t="inlineStr">
        <is>
          <t>59.5</t>
        </is>
      </c>
      <c r="AL6" s="8" t="inlineStr">
        <is>
          <t>600 мм</t>
        </is>
      </c>
      <c r="AM6" s="8" t="inlineStr">
        <is>
          <t>693 мм</t>
        </is>
      </c>
      <c r="AN6" s="8" t="inlineStr">
        <is>
          <t>Linea</t>
        </is>
      </c>
    </row>
    <row r="7" ht="56" customHeight="1">
      <c r="A7" s="5" t="inlineStr">
        <is>
          <t>SMEG  Винный шкаф встраиваемый CVI321X3 45 см,18 бут, Classica НЕРЖ СТАЛЬ (арт. 8017709293925)</t>
        </is>
      </c>
      <c r="B7" s="6" t="n"/>
      <c r="C7" s="8" t="inlineStr">
        <is>
          <t>Временно недоступен</t>
        </is>
      </c>
      <c r="D7" s="8" t="inlineStr">
        <is>
          <t>Да</t>
        </is>
      </c>
      <c r="E7" s="7" t="n"/>
      <c r="F7" s="8" t="inlineStr">
        <is>
          <t>Италия</t>
        </is>
      </c>
      <c r="G7" s="8" t="inlineStr">
        <is>
          <t>56 л</t>
        </is>
      </c>
      <c r="H7" s="8" t="inlineStr">
        <is>
          <t>1 зона</t>
        </is>
      </c>
      <c r="I7" s="8" t="inlineStr">
        <is>
          <t>монотемпературный</t>
        </is>
      </c>
      <c r="J7" s="8" t="inlineStr">
        <is>
          <t>Температурный</t>
        </is>
      </c>
      <c r="K7" s="8" t="inlineStr">
        <is>
          <t>LED</t>
        </is>
      </c>
      <c r="L7" s="8" t="inlineStr">
        <is>
          <t>Компрессор с пониженной выбрацией</t>
        </is>
      </c>
      <c r="M7" s="8" t="inlineStr">
        <is>
          <t>Электронный</t>
        </is>
      </c>
      <c r="N7" s="8" t="inlineStr">
        <is>
          <t>Обработка против отпечатков пальцев</t>
        </is>
      </c>
      <c r="O7" s="8" t="inlineStr">
        <is>
          <t>компрессорное</t>
        </is>
      </c>
      <c r="P7" s="8" t="inlineStr">
        <is>
          <t>Вентилируемый</t>
        </is>
      </c>
      <c r="Q7" s="8" t="inlineStr">
        <is>
          <t>Стандартный</t>
        </is>
      </c>
      <c r="R7" s="8" t="inlineStr">
        <is>
          <t>Eclipse</t>
        </is>
      </c>
      <c r="S7" s="8" t="inlineStr">
        <is>
          <t>Встраиваемый</t>
        </is>
      </c>
      <c r="T7" s="8" t="inlineStr">
        <is>
          <t>Интерьер отсека для вина</t>
        </is>
      </c>
      <c r="U7" s="8" t="inlineStr">
        <is>
          <t>сенсорное</t>
        </is>
      </c>
      <c r="V7" s="7" t="n"/>
      <c r="W7" s="7" t="n"/>
      <c r="X7" s="8" t="inlineStr">
        <is>
          <t>Встраиваемый</t>
        </is>
      </c>
      <c r="Y7" s="7" t="n"/>
      <c r="Z7" s="8" t="inlineStr">
        <is>
          <t>Акустический сигнал при повышении температуры, Значение температуры</t>
        </is>
      </c>
      <c r="AA7" s="8" t="inlineStr">
        <is>
          <t>Нержавеющая сталь</t>
        </is>
      </c>
      <c r="AB7" s="8" t="inlineStr">
        <is>
          <t>нержавеющая сталь</t>
        </is>
      </c>
      <c r="AC7" s="7" t="n"/>
      <c r="AD7" s="8" t="inlineStr">
        <is>
          <t>Нержавеющая сталь</t>
        </is>
      </c>
      <c r="AE7" s="7" t="n"/>
      <c r="AF7" s="8" t="inlineStr">
        <is>
          <t>Черный</t>
        </is>
      </c>
      <c r="AG7" s="8" t="inlineStr">
        <is>
          <t>Нержавеющая сталь</t>
        </is>
      </c>
      <c r="AH7" s="7" t="n"/>
      <c r="AI7" s="8" t="inlineStr">
        <is>
          <t>50 Гц</t>
        </is>
      </c>
      <c r="AJ7" s="8" t="inlineStr">
        <is>
          <t>50</t>
        </is>
      </c>
      <c r="AK7" s="8" t="inlineStr">
        <is>
          <t>59.6</t>
        </is>
      </c>
      <c r="AL7" s="8" t="inlineStr">
        <is>
          <t>600 мм</t>
        </is>
      </c>
      <c r="AM7" s="8" t="inlineStr">
        <is>
          <t>607 мм</t>
        </is>
      </c>
      <c r="AN7" s="8" t="inlineStr">
        <is>
          <t>Classica</t>
        </is>
      </c>
    </row>
    <row r="8" ht="56" customHeight="1">
      <c r="A8" s="5" t="inlineStr">
        <is>
          <t>SMEG  Винный шкаф встраиваемый CVI338LX3 82 см,38 бут, Classica НЕРЖ СТАЛЬ (арт. 8017709293932)</t>
        </is>
      </c>
      <c r="B8" s="9" t="inlineStr">
        <is>
          <t>CVI338LX3</t>
        </is>
      </c>
      <c r="C8" s="8" t="inlineStr">
        <is>
          <t>Актуальный ассортимент VARKA</t>
        </is>
      </c>
      <c r="D8" s="8" t="inlineStr">
        <is>
          <t>Да</t>
        </is>
      </c>
      <c r="E8" s="7" t="n"/>
      <c r="F8" s="8" t="inlineStr">
        <is>
          <t>Италия</t>
        </is>
      </c>
      <c r="G8" s="8" t="inlineStr">
        <is>
          <t>114 л</t>
        </is>
      </c>
      <c r="H8" s="8" t="inlineStr">
        <is>
          <t>2 зоны</t>
        </is>
      </c>
      <c r="I8" s="8" t="inlineStr">
        <is>
          <t>двухтемпературный</t>
        </is>
      </c>
      <c r="J8" s="8" t="inlineStr">
        <is>
          <t>Температурный</t>
        </is>
      </c>
      <c r="K8" s="8" t="inlineStr">
        <is>
          <t>LED</t>
        </is>
      </c>
      <c r="L8" s="8" t="inlineStr">
        <is>
          <t>Компрессор с пониженной выбрацией</t>
        </is>
      </c>
      <c r="M8" s="8" t="inlineStr">
        <is>
          <t>Электронный</t>
        </is>
      </c>
      <c r="N8" s="8" t="inlineStr">
        <is>
          <t>Обработка против отпечатков пальцев</t>
        </is>
      </c>
      <c r="O8" s="7" t="n"/>
      <c r="P8" s="8" t="inlineStr">
        <is>
          <t>Вентилируемый</t>
        </is>
      </c>
      <c r="Q8" s="8" t="inlineStr">
        <is>
          <t>Стандартный</t>
        </is>
      </c>
      <c r="R8" s="8" t="inlineStr">
        <is>
          <t>Eclipse</t>
        </is>
      </c>
      <c r="S8" s="8" t="inlineStr">
        <is>
          <t>Встраиваемый</t>
        </is>
      </c>
      <c r="T8" s="8" t="inlineStr">
        <is>
          <t>Интерьер отсека для вина</t>
        </is>
      </c>
      <c r="U8" s="8" t="inlineStr">
        <is>
          <t>электронное</t>
        </is>
      </c>
      <c r="V8" s="7" t="n"/>
      <c r="W8" s="8" t="inlineStr">
        <is>
          <t>38</t>
        </is>
      </c>
      <c r="X8" s="8" t="inlineStr">
        <is>
          <t>Встраиваемый</t>
        </is>
      </c>
      <c r="Y8" s="8" t="inlineStr">
        <is>
          <t>да</t>
        </is>
      </c>
      <c r="Z8" s="8" t="inlineStr">
        <is>
          <t>Акустический сигнал при повышении температуры, Значение температуры</t>
        </is>
      </c>
      <c r="AA8" s="8" t="inlineStr">
        <is>
          <t>Нержавеющая сталь</t>
        </is>
      </c>
      <c r="AB8" s="8" t="inlineStr">
        <is>
          <t>нержавеющая сталь</t>
        </is>
      </c>
      <c r="AC8" s="8" t="inlineStr">
        <is>
          <t>Нержавеющая сталь</t>
        </is>
      </c>
      <c r="AD8" s="8" t="inlineStr">
        <is>
          <t>Нержавеющая сталь</t>
        </is>
      </c>
      <c r="AE8" s="8" t="inlineStr">
        <is>
          <t>Нержавеющая сталь</t>
        </is>
      </c>
      <c r="AF8" s="8" t="inlineStr">
        <is>
          <t>Черный</t>
        </is>
      </c>
      <c r="AG8" s="8" t="inlineStr">
        <is>
          <t>Нержавеющая сталь</t>
        </is>
      </c>
      <c r="AH8" s="7" t="n"/>
      <c r="AI8" s="8" t="inlineStr">
        <is>
          <t>50 Гц</t>
        </is>
      </c>
      <c r="AJ8" s="8" t="inlineStr">
        <is>
          <t>50</t>
        </is>
      </c>
      <c r="AK8" s="8" t="inlineStr">
        <is>
          <t>59.5</t>
        </is>
      </c>
      <c r="AL8" s="8" t="inlineStr">
        <is>
          <t>600 мм</t>
        </is>
      </c>
      <c r="AM8" s="8" t="inlineStr">
        <is>
          <t>693 мм</t>
        </is>
      </c>
      <c r="AN8" s="8" t="inlineStr">
        <is>
          <t>Classica</t>
        </is>
      </c>
    </row>
    <row r="9" ht="56" customHeight="1">
      <c r="A9" s="5" t="inlineStr">
        <is>
          <t>SMEG  Винный шкаф встраиваемый CVI338RX3 82 см,38 бут, Classica НЕРЖ СТАЛЬ (арт. 8017709293949)</t>
        </is>
      </c>
      <c r="B9" s="9" t="inlineStr">
        <is>
          <t>CVI338RX3</t>
        </is>
      </c>
      <c r="C9" s="8" t="inlineStr">
        <is>
          <t>Актуальный ассортимент VARKA</t>
        </is>
      </c>
      <c r="D9" s="8" t="inlineStr">
        <is>
          <t>Да</t>
        </is>
      </c>
      <c r="E9" s="7" t="n"/>
      <c r="F9" s="8" t="inlineStr">
        <is>
          <t>Италия</t>
        </is>
      </c>
      <c r="G9" s="8" t="inlineStr">
        <is>
          <t>114 л</t>
        </is>
      </c>
      <c r="H9" s="8" t="inlineStr">
        <is>
          <t>2 зоны</t>
        </is>
      </c>
      <c r="I9" s="8" t="inlineStr">
        <is>
          <t>двухтемпературный</t>
        </is>
      </c>
      <c r="J9" s="8" t="inlineStr">
        <is>
          <t>Температурный</t>
        </is>
      </c>
      <c r="K9" s="8" t="inlineStr">
        <is>
          <t>LED</t>
        </is>
      </c>
      <c r="L9" s="8" t="inlineStr">
        <is>
          <t>Компрессор с пониженной выбрацией</t>
        </is>
      </c>
      <c r="M9" s="8" t="inlineStr">
        <is>
          <t>Электронный</t>
        </is>
      </c>
      <c r="N9" s="8" t="inlineStr">
        <is>
          <t>Обработка против отпечатков пальцев</t>
        </is>
      </c>
      <c r="O9" s="7" t="n"/>
      <c r="P9" s="8" t="inlineStr">
        <is>
          <t>Вентилируемый</t>
        </is>
      </c>
      <c r="Q9" s="8" t="inlineStr">
        <is>
          <t>Стандартный</t>
        </is>
      </c>
      <c r="R9" s="8" t="inlineStr">
        <is>
          <t>Eclipse</t>
        </is>
      </c>
      <c r="S9" s="8" t="inlineStr">
        <is>
          <t>Встраиваемый</t>
        </is>
      </c>
      <c r="T9" s="8" t="inlineStr">
        <is>
          <t>Интерьер отсека для вина</t>
        </is>
      </c>
      <c r="U9" s="8" t="inlineStr">
        <is>
          <t>электронное</t>
        </is>
      </c>
      <c r="V9" s="7" t="n"/>
      <c r="W9" s="8" t="inlineStr">
        <is>
          <t>38</t>
        </is>
      </c>
      <c r="X9" s="8" t="inlineStr">
        <is>
          <t>Встраиваемый</t>
        </is>
      </c>
      <c r="Y9" s="8" t="inlineStr">
        <is>
          <t>да</t>
        </is>
      </c>
      <c r="Z9" s="8" t="inlineStr">
        <is>
          <t>Акустический сигнал при повышении температуры, Значение температуры</t>
        </is>
      </c>
      <c r="AA9" s="8" t="inlineStr">
        <is>
          <t>Нержавеющая сталь</t>
        </is>
      </c>
      <c r="AB9" s="8" t="inlineStr">
        <is>
          <t>нержавеющая сталь</t>
        </is>
      </c>
      <c r="AC9" s="8" t="inlineStr">
        <is>
          <t>Нержавеющая сталь</t>
        </is>
      </c>
      <c r="AD9" s="8" t="inlineStr">
        <is>
          <t>Нержавеющая сталь</t>
        </is>
      </c>
      <c r="AE9" s="8" t="inlineStr">
        <is>
          <t>Нержавеющая сталь</t>
        </is>
      </c>
      <c r="AF9" s="8" t="inlineStr">
        <is>
          <t>Черный</t>
        </is>
      </c>
      <c r="AG9" s="8" t="inlineStr">
        <is>
          <t>Нержавеющая сталь</t>
        </is>
      </c>
      <c r="AH9" s="7" t="n"/>
      <c r="AI9" s="8" t="inlineStr">
        <is>
          <t>50 Гц</t>
        </is>
      </c>
      <c r="AJ9" s="8" t="inlineStr">
        <is>
          <t>50</t>
        </is>
      </c>
      <c r="AK9" s="8" t="inlineStr">
        <is>
          <t>59.5</t>
        </is>
      </c>
      <c r="AL9" s="8" t="inlineStr">
        <is>
          <t>600 мм</t>
        </is>
      </c>
      <c r="AM9" s="8" t="inlineStr">
        <is>
          <t>693 мм</t>
        </is>
      </c>
      <c r="AN9" s="8" t="inlineStr">
        <is>
          <t>Classica</t>
        </is>
      </c>
    </row>
    <row r="10" ht="56" customHeight="1">
      <c r="A10" s="5" t="inlineStr">
        <is>
          <t>SMEG  Винный шкаф встраиваемый, CVI121B3 45 см, ЧЕРНЫЙ (арт. 8017709325213) ВЫВОД</t>
        </is>
      </c>
      <c r="B10" s="6" t="n"/>
      <c r="C10" s="7" t="n"/>
      <c r="D10" s="8" t="inlineStr">
        <is>
          <t>Да</t>
        </is>
      </c>
      <c r="E10" s="7" t="n"/>
      <c r="F10" s="8" t="inlineStr">
        <is>
          <t>Италия</t>
        </is>
      </c>
      <c r="G10" s="8" t="inlineStr">
        <is>
          <t>56 л</t>
        </is>
      </c>
      <c r="H10" s="8" t="inlineStr">
        <is>
          <t>1 зона</t>
        </is>
      </c>
      <c r="I10" s="8" t="inlineStr">
        <is>
          <t>монотемпературный</t>
        </is>
      </c>
      <c r="J10" s="7" t="n"/>
      <c r="K10" s="7" t="n"/>
      <c r="L10" s="8" t="inlineStr">
        <is>
          <t>Компрессор с пониженной выбрацией</t>
        </is>
      </c>
      <c r="M10" s="8" t="inlineStr">
        <is>
          <t>Электронный</t>
        </is>
      </c>
      <c r="N10" s="7" t="n"/>
      <c r="O10" s="8" t="inlineStr">
        <is>
          <t>компрессорное</t>
        </is>
      </c>
      <c r="P10" s="8" t="inlineStr">
        <is>
          <t>Компрессорное</t>
        </is>
      </c>
      <c r="Q10" s="8" t="inlineStr">
        <is>
          <t>Перенавешиваемые петли</t>
        </is>
      </c>
      <c r="R10" s="7" t="n"/>
      <c r="S10" s="8" t="inlineStr">
        <is>
          <t>Встраиваемый</t>
        </is>
      </c>
      <c r="T10" s="7" t="n"/>
      <c r="U10" s="8" t="inlineStr">
        <is>
          <t>сенсорное</t>
        </is>
      </c>
      <c r="V10" s="8" t="inlineStr">
        <is>
          <t>36дБ</t>
        </is>
      </c>
      <c r="W10" s="8" t="inlineStr">
        <is>
          <t>36</t>
        </is>
      </c>
      <c r="X10" s="8" t="inlineStr">
        <is>
          <t>Встраиваемый</t>
        </is>
      </c>
      <c r="Y10" s="8" t="inlineStr">
        <is>
          <t>да</t>
        </is>
      </c>
      <c r="Z10" s="8" t="inlineStr">
        <is>
          <t>Акустический сигнал при повышении температуры, Значение температуры</t>
        </is>
      </c>
      <c r="AA10" s="7" t="n"/>
      <c r="AB10" s="8" t="inlineStr">
        <is>
          <t>черный</t>
        </is>
      </c>
      <c r="AC10" s="7" t="n"/>
      <c r="AD10" s="8" t="inlineStr">
        <is>
          <t>Черный</t>
        </is>
      </c>
      <c r="AE10" s="7" t="n"/>
      <c r="AF10" s="7" t="n"/>
      <c r="AG10" s="8" t="inlineStr">
        <is>
          <t>Черный</t>
        </is>
      </c>
      <c r="AH10" s="7" t="n"/>
      <c r="AI10" s="8" t="inlineStr">
        <is>
          <t>50 Гц</t>
        </is>
      </c>
      <c r="AJ10" s="8" t="inlineStr">
        <is>
          <t>50</t>
        </is>
      </c>
      <c r="AK10" s="8" t="inlineStr">
        <is>
          <t>56.6</t>
        </is>
      </c>
      <c r="AL10" s="8" t="inlineStr">
        <is>
          <t>600 мм</t>
        </is>
      </c>
      <c r="AM10" s="8" t="inlineStr">
        <is>
          <t>600 мм</t>
        </is>
      </c>
      <c r="AN10" s="7" t="n"/>
    </row>
    <row r="11" ht="33" customHeight="1">
      <c r="A11" s="5" t="inlineStr">
        <is>
          <t>SMEG  Винный шкаф встраиваемый, CVI629NR3 60 см ЧЕРНОЕ СТЕКЛО (арт. 8017709319342)</t>
        </is>
      </c>
      <c r="B11" s="6" t="n"/>
      <c r="C11" s="8" t="inlineStr">
        <is>
          <t>Снято с производства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8" t="inlineStr">
        <is>
          <t>Черное стекло</t>
        </is>
      </c>
      <c r="AE11" s="7" t="n"/>
      <c r="AF11" s="7" t="n"/>
      <c r="AG11" s="8" t="inlineStr">
        <is>
          <t>Черный</t>
        </is>
      </c>
      <c r="AH11" s="7" t="n"/>
      <c r="AI11" s="7" t="n"/>
      <c r="AJ11" s="7" t="n"/>
      <c r="AK11" s="7" t="n"/>
      <c r="AL11" s="7" t="n"/>
      <c r="AM11" s="7" t="n"/>
      <c r="AN11" s="7" t="n"/>
    </row>
    <row r="12" ht="44" customHeight="1">
      <c r="A12" s="5" t="inlineStr">
        <is>
          <t>SMEG  Винный шкаф отдельностоящий SCV115A 182*60 см,115 бут, вправо,ЧЕРНЫЙ+НЕРЖ (арт. 8017709218201)</t>
        </is>
      </c>
      <c r="B12" s="6" t="n"/>
      <c r="C12" s="8" t="inlineStr">
        <is>
          <t>Временно недоступен</t>
        </is>
      </c>
      <c r="D12" s="8" t="inlineStr">
        <is>
          <t>Да</t>
        </is>
      </c>
      <c r="E12" s="8" t="inlineStr">
        <is>
          <t>Современный</t>
        </is>
      </c>
      <c r="F12" s="8" t="inlineStr">
        <is>
          <t>Дания</t>
        </is>
      </c>
      <c r="G12" s="8" t="inlineStr">
        <is>
          <t>368 л</t>
        </is>
      </c>
      <c r="H12" s="8" t="inlineStr">
        <is>
          <t>2 зоны</t>
        </is>
      </c>
      <c r="I12" s="7" t="n"/>
      <c r="J12" s="8" t="inlineStr">
        <is>
          <t>Температурный</t>
        </is>
      </c>
      <c r="K12" s="8" t="inlineStr">
        <is>
          <t>LED</t>
        </is>
      </c>
      <c r="L12" s="8" t="inlineStr">
        <is>
          <t>Компрессор с пониженной выбрацией</t>
        </is>
      </c>
      <c r="M12" s="8" t="inlineStr">
        <is>
          <t>Электронный</t>
        </is>
      </c>
      <c r="N12" s="8" t="inlineStr">
        <is>
          <t>Обработка против отпечатков пальцев</t>
        </is>
      </c>
      <c r="O12" s="7" t="n"/>
      <c r="P12" s="8" t="inlineStr">
        <is>
          <t>Вентилируемый</t>
        </is>
      </c>
      <c r="Q12" s="8" t="inlineStr">
        <is>
          <t>Стандартный</t>
        </is>
      </c>
      <c r="R12" s="7" t="n"/>
      <c r="S12" s="8" t="inlineStr">
        <is>
          <t>Отдельностоящий</t>
        </is>
      </c>
      <c r="T12" s="8" t="inlineStr">
        <is>
          <t>Внешнее, в цоколе</t>
        </is>
      </c>
      <c r="U12" s="7" t="n"/>
      <c r="V12" s="7" t="n"/>
      <c r="W12" s="7" t="n"/>
      <c r="X12" s="8" t="inlineStr">
        <is>
          <t>Отдельностоящий</t>
        </is>
      </c>
      <c r="Y12" s="7" t="n"/>
      <c r="Z12" s="7" t="n"/>
      <c r="AA12" s="8" t="inlineStr">
        <is>
          <t>Нержавеющая сталь</t>
        </is>
      </c>
      <c r="AB12" s="7" t="n"/>
      <c r="AC12" s="8" t="inlineStr">
        <is>
          <t>Черный</t>
        </is>
      </c>
      <c r="AD12" s="8" t="inlineStr">
        <is>
          <t>Черный</t>
        </is>
      </c>
      <c r="AE12" s="8" t="inlineStr">
        <is>
          <t>Нержавеющая сталь</t>
        </is>
      </c>
      <c r="AF12" s="7" t="n"/>
      <c r="AG12" s="8" t="inlineStr">
        <is>
          <t>Черный</t>
        </is>
      </c>
      <c r="AH12" s="7" t="n"/>
      <c r="AI12" s="8" t="inlineStr">
        <is>
          <t>50 Гц</t>
        </is>
      </c>
      <c r="AJ12" s="7" t="n"/>
      <c r="AK12" s="7" t="n"/>
      <c r="AL12" s="8" t="inlineStr">
        <is>
          <t>600 мм</t>
        </is>
      </c>
      <c r="AM12" s="8" t="inlineStr">
        <is>
          <t>600 мм</t>
        </is>
      </c>
      <c r="AN12" s="8" t="inlineStr">
        <is>
          <t>Classica</t>
        </is>
      </c>
    </row>
    <row r="13" ht="67.05" customHeight="1">
      <c r="A13" s="5" t="inlineStr">
        <is>
          <t>SMEG  Винный шкаф отдельностоящий SCV115AS 182*60 см,115 бут, влево,ЧЕРНЫЙ+НЕРЖ (арт. 8017709218225)</t>
        </is>
      </c>
      <c r="B13" s="6" t="n"/>
      <c r="C13" s="8" t="inlineStr">
        <is>
          <t>Временно недоступен</t>
        </is>
      </c>
      <c r="D13" s="8" t="inlineStr">
        <is>
          <t>Да</t>
        </is>
      </c>
      <c r="E13" s="8" t="inlineStr">
        <is>
          <t>Современный</t>
        </is>
      </c>
      <c r="F13" s="8" t="inlineStr">
        <is>
          <t>Дания</t>
        </is>
      </c>
      <c r="G13" s="8" t="inlineStr">
        <is>
          <t>368 л</t>
        </is>
      </c>
      <c r="H13" s="8" t="inlineStr">
        <is>
          <t>2 зоны</t>
        </is>
      </c>
      <c r="I13" s="8" t="inlineStr">
        <is>
          <t>двухтемпературный</t>
        </is>
      </c>
      <c r="J13" s="8" t="inlineStr">
        <is>
          <t>Температурный</t>
        </is>
      </c>
      <c r="K13" s="8" t="inlineStr">
        <is>
          <t>LED</t>
        </is>
      </c>
      <c r="L13" s="8" t="inlineStr">
        <is>
          <t>Компрессор с пониженной выбрацией</t>
        </is>
      </c>
      <c r="M13" s="8" t="inlineStr">
        <is>
          <t>Электронный</t>
        </is>
      </c>
      <c r="N13" s="8" t="inlineStr">
        <is>
          <t>Обработка против отпечатков пальцев</t>
        </is>
      </c>
      <c r="O13" s="7" t="n"/>
      <c r="P13" s="8" t="inlineStr">
        <is>
          <t>Вентилируемый</t>
        </is>
      </c>
      <c r="Q13" s="8" t="inlineStr">
        <is>
          <t>Стандартный</t>
        </is>
      </c>
      <c r="R13" s="7" t="n"/>
      <c r="S13" s="8" t="inlineStr">
        <is>
          <t>Отдельностоящий</t>
        </is>
      </c>
      <c r="T13" s="8" t="inlineStr">
        <is>
          <t>Внешнее, в цоколе</t>
        </is>
      </c>
      <c r="U13" s="8" t="inlineStr">
        <is>
          <t>электронное</t>
        </is>
      </c>
      <c r="V13" s="7" t="n"/>
      <c r="W13" s="8" t="inlineStr">
        <is>
          <t>42</t>
        </is>
      </c>
      <c r="X13" s="8" t="inlineStr">
        <is>
          <t>Отдельностоящий</t>
        </is>
      </c>
      <c r="Y13" s="8" t="inlineStr">
        <is>
          <t>да</t>
        </is>
      </c>
      <c r="Z13" s="7" t="n"/>
      <c r="AA13" s="8" t="inlineStr">
        <is>
          <t>Нержавеющая сталь</t>
        </is>
      </c>
      <c r="AB13" s="8" t="inlineStr">
        <is>
          <t>черное стекло</t>
        </is>
      </c>
      <c r="AC13" s="8" t="inlineStr">
        <is>
          <t>Черный</t>
        </is>
      </c>
      <c r="AD13" s="8" t="inlineStr">
        <is>
          <t>Черный</t>
        </is>
      </c>
      <c r="AE13" s="8" t="inlineStr">
        <is>
          <t>Нержавеющая сталь</t>
        </is>
      </c>
      <c r="AF13" s="7" t="n"/>
      <c r="AG13" s="8" t="inlineStr">
        <is>
          <t>Черный</t>
        </is>
      </c>
      <c r="AH13" s="8" t="inlineStr">
        <is>
          <t>да</t>
        </is>
      </c>
      <c r="AI13" s="8" t="inlineStr">
        <is>
          <t>50 Гц</t>
        </is>
      </c>
      <c r="AJ13" s="7" t="n"/>
      <c r="AK13" s="8" t="inlineStr">
        <is>
          <t>60</t>
        </is>
      </c>
      <c r="AL13" s="8" t="inlineStr">
        <is>
          <t>600 мм</t>
        </is>
      </c>
      <c r="AM13" s="8" t="inlineStr">
        <is>
          <t>600 мм</t>
        </is>
      </c>
      <c r="AN13" s="8" t="inlineStr">
        <is>
          <t>Classica</t>
        </is>
      </c>
    </row>
    <row r="14" ht="78" customHeight="1">
      <c r="A14" s="5" t="inlineStr">
        <is>
          <t>SMEG  Винный шкаф отдельностоящий WF366RDX 212*60 см,168 бут, вправо,НЕРЖ СТАЛЬ(арт. 8017709205065)</t>
        </is>
      </c>
      <c r="B14" s="6" t="n"/>
      <c r="C14" s="8" t="inlineStr">
        <is>
          <t>Временно недоступен</t>
        </is>
      </c>
      <c r="D14" s="8" t="inlineStr">
        <is>
          <t>Да</t>
        </is>
      </c>
      <c r="E14" s="8" t="inlineStr">
        <is>
          <t>Современный</t>
        </is>
      </c>
      <c r="F14" s="8" t="inlineStr">
        <is>
          <t>Италия</t>
        </is>
      </c>
      <c r="G14" s="7" t="n"/>
      <c r="H14" s="8" t="inlineStr">
        <is>
          <t>3 зоны</t>
        </is>
      </c>
      <c r="I14" s="8" t="inlineStr">
        <is>
          <t>мультитемпературный</t>
        </is>
      </c>
      <c r="J14" s="8" t="inlineStr">
        <is>
          <t>Температурный</t>
        </is>
      </c>
      <c r="K14" s="8" t="inlineStr">
        <is>
          <t>LED</t>
        </is>
      </c>
      <c r="L14" s="8" t="inlineStr">
        <is>
          <t>Компрессор с переменной скоростью</t>
        </is>
      </c>
      <c r="M14" s="8" t="inlineStr">
        <is>
          <t>Электронный</t>
        </is>
      </c>
      <c r="N14" s="8" t="inlineStr">
        <is>
          <t>Нормальная</t>
        </is>
      </c>
      <c r="O14" s="7" t="n"/>
      <c r="P14" s="8" t="inlineStr">
        <is>
          <t>Вентилируемый</t>
        </is>
      </c>
      <c r="Q14" s="8" t="inlineStr">
        <is>
          <t>Перенавешиваемые петли</t>
        </is>
      </c>
      <c r="R14" s="7" t="n"/>
      <c r="S14" s="8" t="inlineStr">
        <is>
          <t>Отдельностоящий</t>
        </is>
      </c>
      <c r="T14" s="8" t="inlineStr">
        <is>
          <t>Интерьер отсека для вина</t>
        </is>
      </c>
      <c r="U14" s="8" t="inlineStr">
        <is>
          <t>электронное</t>
        </is>
      </c>
      <c r="V14" s="8" t="inlineStr">
        <is>
          <t>42 дБ(A) re 1пВт</t>
        </is>
      </c>
      <c r="W14" s="8" t="inlineStr">
        <is>
          <t>41</t>
        </is>
      </c>
      <c r="X14" s="8" t="inlineStr">
        <is>
          <t>Отдельностоящий</t>
        </is>
      </c>
      <c r="Y14" s="7" t="n"/>
      <c r="Z14" s="8" t="inlineStr">
        <is>
          <t>Функция "Отпуск",  Быстрая заморозка,  Быстрое охлаждение,  MultiZone,  Блокировка управления,  Акус</t>
        </is>
      </c>
      <c r="AA14" s="8" t="inlineStr">
        <is>
          <t>Нержавеющая сталь</t>
        </is>
      </c>
      <c r="AB14" s="8" t="inlineStr">
        <is>
          <t>нержавеющая сталь</t>
        </is>
      </c>
      <c r="AC14" s="8" t="inlineStr">
        <is>
          <t>Нержавеющая сталь</t>
        </is>
      </c>
      <c r="AD14" s="8" t="inlineStr">
        <is>
          <t>Нержавеющая сталь</t>
        </is>
      </c>
      <c r="AE14" s="8" t="inlineStr">
        <is>
          <t>Нержавеющая сталь</t>
        </is>
      </c>
      <c r="AF14" s="8" t="inlineStr">
        <is>
          <t>Прозрачное</t>
        </is>
      </c>
      <c r="AG14" s="8" t="inlineStr">
        <is>
          <t>Нержавеющая сталь</t>
        </is>
      </c>
      <c r="AH14" s="8" t="inlineStr">
        <is>
          <t>да</t>
        </is>
      </c>
      <c r="AI14" s="8" t="inlineStr">
        <is>
          <t>50 Гц</t>
        </is>
      </c>
      <c r="AJ14" s="7" t="n"/>
      <c r="AK14" s="8" t="inlineStr">
        <is>
          <t>58.6</t>
        </is>
      </c>
      <c r="AL14" s="8" t="inlineStr">
        <is>
          <t>600 мм</t>
        </is>
      </c>
      <c r="AM14" s="8" t="inlineStr">
        <is>
          <t>600 мм</t>
        </is>
      </c>
      <c r="AN14" s="8" t="inlineStr">
        <is>
          <t>Classica</t>
        </is>
      </c>
    </row>
    <row r="15" ht="33" customHeight="1">
      <c r="A15" s="5" t="inlineStr">
        <is>
          <t>SMEG Виннный шкаф отдельностоящий SCV115G,  60 см, НЕРЖ. СТАЛЬ (арт. 8017709340384)</t>
        </is>
      </c>
      <c r="B15" s="10" t="inlineStr">
        <is>
          <t>SCV115G</t>
        </is>
      </c>
      <c r="C15" s="8" t="inlineStr">
        <is>
          <t>Актуальный ассортимент VARKA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8" t="inlineStr">
        <is>
          <t>Нержавеющая сталь</t>
        </is>
      </c>
      <c r="AE15" s="7" t="n"/>
      <c r="AF15" s="7" t="n"/>
      <c r="AG15" s="8" t="inlineStr">
        <is>
          <t>Нержавеющая сталь</t>
        </is>
      </c>
      <c r="AH15" s="7" t="n"/>
      <c r="AI15" s="7" t="n"/>
      <c r="AJ15" s="7" t="n"/>
      <c r="AK15" s="7" t="n"/>
      <c r="AL15" s="7" t="n"/>
      <c r="AM15" s="7" t="n"/>
      <c r="AN15" s="7" t="n"/>
    </row>
    <row r="16" ht="33" customHeight="1">
      <c r="A16" s="5" t="inlineStr">
        <is>
          <t>SMEG Винный шкаф CVI121G встраиваемый, 60 см, высота 45 см NEPTUNE GREY (арт. 8017709325220)</t>
        </is>
      </c>
      <c r="B16" s="6" t="n"/>
      <c r="C16" s="8" t="inlineStr">
        <is>
          <t>Временно недоступен</t>
        </is>
      </c>
      <c r="D16" s="7" t="n"/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8" t="inlineStr">
        <is>
          <t>Neptun Grey</t>
        </is>
      </c>
      <c r="AE16" s="7" t="n"/>
      <c r="AF16" s="7" t="n"/>
      <c r="AG16" s="8" t="inlineStr">
        <is>
          <t>Серый</t>
        </is>
      </c>
      <c r="AH16" s="7" t="n"/>
      <c r="AI16" s="7" t="n"/>
      <c r="AJ16" s="7" t="n"/>
      <c r="AK16" s="7" t="n"/>
      <c r="AL16" s="7" t="n"/>
      <c r="AM16" s="7" t="n"/>
      <c r="AN16" s="7" t="n"/>
    </row>
    <row r="17" ht="56" customHeight="1">
      <c r="A17" s="5" t="inlineStr">
        <is>
          <t>SMEG Винный шкаф CVI129B3 встраиваемый, 60 см (арт. 8017709319335)</t>
        </is>
      </c>
      <c r="B17" s="6" t="n"/>
      <c r="C17" s="8" t="inlineStr">
        <is>
          <t>Снято с производства</t>
        </is>
      </c>
      <c r="D17" s="8" t="inlineStr">
        <is>
          <t>Да</t>
        </is>
      </c>
      <c r="E17" s="8" t="inlineStr">
        <is>
          <t>Современный</t>
        </is>
      </c>
      <c r="F17" s="8" t="inlineStr">
        <is>
          <t>Италия</t>
        </is>
      </c>
      <c r="G17" s="7" t="n"/>
      <c r="H17" s="8" t="inlineStr">
        <is>
          <t>2 зоны</t>
        </is>
      </c>
      <c r="I17" s="7" t="n"/>
      <c r="J17" s="7" t="n"/>
      <c r="K17" s="8" t="inlineStr">
        <is>
          <t>LED</t>
        </is>
      </c>
      <c r="L17" s="8" t="inlineStr">
        <is>
          <t>Компрессор с пониженной выбрацией</t>
        </is>
      </c>
      <c r="M17" s="8" t="inlineStr">
        <is>
          <t>Электронный</t>
        </is>
      </c>
      <c r="N17" s="7" t="n"/>
      <c r="O17" s="7" t="n"/>
      <c r="P17" s="7" t="n"/>
      <c r="Q17" s="8" t="inlineStr">
        <is>
          <t>Перенавешиваемые петли</t>
        </is>
      </c>
      <c r="R17" s="7" t="n"/>
      <c r="S17" s="8" t="inlineStr">
        <is>
          <t>Встраиваемый</t>
        </is>
      </c>
      <c r="T17" s="8" t="inlineStr">
        <is>
          <t>Интерьер отсека для вина</t>
        </is>
      </c>
      <c r="U17" s="7" t="n"/>
      <c r="V17" s="7" t="n"/>
      <c r="W17" s="7" t="n"/>
      <c r="X17" s="8" t="inlineStr">
        <is>
          <t>Встраиваемый</t>
        </is>
      </c>
      <c r="Y17" s="7" t="n"/>
      <c r="Z17" s="8" t="inlineStr">
        <is>
          <t>Акустический сигнал при повышении температуры, Значение температуры</t>
        </is>
      </c>
      <c r="AA17" s="7" t="n"/>
      <c r="AB17" s="7" t="n"/>
      <c r="AC17" s="7" t="n"/>
      <c r="AD17" s="8" t="inlineStr">
        <is>
          <t>Черный</t>
        </is>
      </c>
      <c r="AE17" s="7" t="n"/>
      <c r="AF17" s="7" t="n"/>
      <c r="AG17" s="8" t="inlineStr">
        <is>
          <t>Черный</t>
        </is>
      </c>
      <c r="AH17" s="7" t="n"/>
      <c r="AI17" s="8" t="inlineStr">
        <is>
          <t>50 Гц</t>
        </is>
      </c>
      <c r="AJ17" s="7" t="n"/>
      <c r="AK17" s="7" t="n"/>
      <c r="AL17" s="8" t="inlineStr">
        <is>
          <t>600 мм</t>
        </is>
      </c>
      <c r="AM17" s="7" t="n"/>
      <c r="AN17" s="7" t="n"/>
    </row>
    <row r="18" ht="33" customHeight="1">
      <c r="A18" s="5" t="inlineStr">
        <is>
          <t>SMEG Винный шкаф CVI129G встраиваемый, 60 см (арт. 8017709325275)</t>
        </is>
      </c>
      <c r="B18" s="6" t="n"/>
      <c r="C18" s="8" t="inlineStr">
        <is>
          <t>Временно недоступен</t>
        </is>
      </c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  <c r="AA18" s="7" t="n"/>
      <c r="AB18" s="7" t="n"/>
      <c r="AC18" s="7" t="n"/>
      <c r="AD18" s="8" t="inlineStr">
        <is>
          <t>Neptun Grey</t>
        </is>
      </c>
      <c r="AE18" s="7" t="n"/>
      <c r="AF18" s="7" t="n"/>
      <c r="AG18" s="8" t="inlineStr">
        <is>
          <t>Серый</t>
        </is>
      </c>
      <c r="AH18" s="7" t="n"/>
      <c r="AI18" s="7" t="n"/>
      <c r="AJ18" s="7" t="n"/>
      <c r="AK18" s="7" t="n"/>
      <c r="AL18" s="7" t="n"/>
      <c r="AM18" s="7" t="n"/>
      <c r="AN18" s="7" t="n"/>
    </row>
    <row r="19" ht="33" customHeight="1">
      <c r="A19" s="5" t="inlineStr">
        <is>
          <t>SMEG Винный шкаф CVI329X3 встраиваемый, 60 см НЕРЖ (арт. 8017709317102)</t>
        </is>
      </c>
      <c r="B19" s="6" t="n"/>
      <c r="C19" s="8" t="inlineStr">
        <is>
          <t>Временно недоступен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8" t="inlineStr">
        <is>
          <t>Нержавеющая сталь</t>
        </is>
      </c>
      <c r="AE19" s="7" t="n"/>
      <c r="AF19" s="7" t="n"/>
      <c r="AG19" s="8" t="inlineStr">
        <is>
          <t>Нержавеющая сталь</t>
        </is>
      </c>
      <c r="AH19" s="7" t="n"/>
      <c r="AI19" s="7" t="n"/>
      <c r="AJ19" s="7" t="n"/>
      <c r="AK19" s="7" t="n"/>
      <c r="AL19" s="7" t="n"/>
      <c r="AM19" s="7" t="n"/>
      <c r="AN19" s="7" t="n"/>
    </row>
    <row r="20" ht="33" customHeight="1">
      <c r="A20" s="5" t="inlineStr">
        <is>
          <t>SMEG Винный шкаф встраиваемый 82 см, CVI138LG, Neptune Grey (арт. 8017709325244)</t>
        </is>
      </c>
      <c r="B20" s="9" t="inlineStr">
        <is>
          <t>CVI138LG</t>
        </is>
      </c>
      <c r="C20" s="8" t="inlineStr">
        <is>
          <t>Актуальный ассортимент VARKA</t>
        </is>
      </c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  <c r="AA20" s="7" t="n"/>
      <c r="AB20" s="7" t="n"/>
      <c r="AC20" s="7" t="n"/>
      <c r="AD20" s="8" t="inlineStr">
        <is>
          <t>Neptun Grey</t>
        </is>
      </c>
      <c r="AE20" s="7" t="n"/>
      <c r="AF20" s="7" t="n"/>
      <c r="AG20" s="8" t="inlineStr">
        <is>
          <t>Neptun Grey</t>
        </is>
      </c>
      <c r="AH20" s="7" t="n"/>
      <c r="AI20" s="7" t="n"/>
      <c r="AJ20" s="7" t="n"/>
      <c r="AK20" s="7" t="n"/>
      <c r="AL20" s="7" t="n"/>
      <c r="AM20" s="7" t="n"/>
      <c r="AN20" s="7" t="n"/>
    </row>
    <row r="21" ht="33" customHeight="1">
      <c r="A21" s="5" t="inlineStr">
        <is>
          <t>SMEG Винный шкаф встраиваемый, 82 см, CVI138RG,  Neptune Grey (арт. 8017709325237)</t>
        </is>
      </c>
      <c r="B21" s="9" t="inlineStr">
        <is>
          <t>CVI138RG</t>
        </is>
      </c>
      <c r="C21" s="8" t="inlineStr">
        <is>
          <t>Актуальный ассортимент VARKA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8" t="inlineStr">
        <is>
          <t>Neptun Grey</t>
        </is>
      </c>
      <c r="AE21" s="7" t="n"/>
      <c r="AF21" s="7" t="n"/>
      <c r="AG21" s="8" t="inlineStr">
        <is>
          <t>Neptun Grey</t>
        </is>
      </c>
      <c r="AH21" s="7" t="n"/>
      <c r="AI21" s="7" t="n"/>
      <c r="AJ21" s="7" t="n"/>
      <c r="AK21" s="7" t="n"/>
      <c r="AL21" s="7" t="n"/>
      <c r="AM21" s="7" t="n"/>
      <c r="AN21" s="7" t="n"/>
    </row>
    <row r="22" ht="33" customHeight="1">
      <c r="A22" s="5" t="inlineStr">
        <is>
          <t>SMEG Винный шкаф встраиваемый, CVI120GE, Neptune grey (арт. 8017709349325)</t>
        </is>
      </c>
      <c r="B22" s="10" t="inlineStr">
        <is>
          <t>CVI120GE</t>
        </is>
      </c>
      <c r="C22" s="8" t="inlineStr">
        <is>
          <t>Актуальный ассортимент VARKA</t>
        </is>
      </c>
      <c r="D22" s="7" t="n"/>
      <c r="E22" s="7" t="n"/>
      <c r="F22" s="8" t="inlineStr">
        <is>
          <t>Италия</t>
        </is>
      </c>
      <c r="G22" s="7" t="n"/>
      <c r="H22" s="7" t="n"/>
      <c r="I22" s="7" t="n"/>
      <c r="J22" s="7" t="n"/>
      <c r="K22" s="7" t="n"/>
      <c r="L22" s="7" t="n"/>
      <c r="M22" s="7" t="n"/>
      <c r="N22" s="7" t="n"/>
      <c r="O22" s="7" t="n"/>
      <c r="P22" s="7" t="n"/>
      <c r="Q22" s="7" t="n"/>
      <c r="R22" s="7" t="n"/>
      <c r="S22" s="8" t="inlineStr">
        <is>
          <t>Встраиваемый</t>
        </is>
      </c>
      <c r="T22" s="7" t="n"/>
      <c r="U22" s="7" t="n"/>
      <c r="V22" s="7" t="n"/>
      <c r="W22" s="7" t="n"/>
      <c r="X22" s="7" t="n"/>
      <c r="Y22" s="7" t="n"/>
      <c r="Z22" s="7" t="n"/>
      <c r="AA22" s="7" t="n"/>
      <c r="AB22" s="7" t="n"/>
      <c r="AC22" s="7" t="n"/>
      <c r="AD22" s="8" t="inlineStr">
        <is>
          <t>Neptun Grey</t>
        </is>
      </c>
      <c r="AE22" s="7" t="n"/>
      <c r="AF22" s="7" t="n"/>
      <c r="AG22" s="8" t="inlineStr">
        <is>
          <t>Синий</t>
        </is>
      </c>
      <c r="AH22" s="7" t="n"/>
      <c r="AI22" s="7" t="n"/>
      <c r="AJ22" s="7" t="n"/>
      <c r="AK22" s="7" t="n"/>
      <c r="AL22" s="8" t="inlineStr">
        <is>
          <t>600 мм</t>
        </is>
      </c>
      <c r="AM22" s="7" t="n"/>
      <c r="AN22" s="7" t="n"/>
    </row>
    <row r="23" ht="33" customHeight="1">
      <c r="A23" s="5" t="inlineStr">
        <is>
          <t>SMEG Винный шкаф встраиваемый, CVI320XE, НЕРЖ. СТАЛЬ (арт. 8017709356422)</t>
        </is>
      </c>
      <c r="B23" s="10" t="inlineStr">
        <is>
          <t>CVI320XE</t>
        </is>
      </c>
      <c r="C23" s="8" t="inlineStr">
        <is>
          <t>Актуальный ассортимент VARKA</t>
        </is>
      </c>
      <c r="D23" s="7" t="n"/>
      <c r="E23" s="7" t="n"/>
      <c r="F23" s="8" t="inlineStr">
        <is>
          <t>Италия</t>
        </is>
      </c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8" t="inlineStr">
        <is>
          <t>Встраиваемый</t>
        </is>
      </c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8" t="inlineStr">
        <is>
          <t>Нержавеющая сталь</t>
        </is>
      </c>
      <c r="AE23" s="7" t="n"/>
      <c r="AF23" s="7" t="n"/>
      <c r="AG23" s="8" t="inlineStr">
        <is>
          <t>Нержавеющая сталь</t>
        </is>
      </c>
      <c r="AH23" s="7" t="n"/>
      <c r="AI23" s="7" t="n"/>
      <c r="AJ23" s="7" t="n"/>
      <c r="AK23" s="7" t="n"/>
      <c r="AL23" s="8" t="inlineStr">
        <is>
          <t>600 мм</t>
        </is>
      </c>
      <c r="AM23" s="7" t="n"/>
      <c r="AN23" s="7" t="n"/>
    </row>
    <row r="24" ht="33" customHeight="1">
      <c r="A24" s="5" t="inlineStr">
        <is>
          <t>SMEG Винный шкаф встраиваемый, CVI620NRE, 60 см, высота 45 см, ЧЕРНЫЙ (арт. 8017709349370)</t>
        </is>
      </c>
      <c r="B24" s="10" t="inlineStr">
        <is>
          <t>CVI620NRE</t>
        </is>
      </c>
      <c r="C24" s="8" t="inlineStr">
        <is>
          <t>Актуальный ассортимент VARKA</t>
        </is>
      </c>
      <c r="D24" s="7" t="n"/>
      <c r="E24" s="7" t="n"/>
      <c r="F24" s="7" t="n"/>
      <c r="G24" s="7" t="n"/>
      <c r="H24" s="7" t="n"/>
      <c r="I24" s="7" t="n"/>
      <c r="J24" s="7" t="n"/>
      <c r="K24" s="7" t="n"/>
      <c r="L24" s="7" t="n"/>
      <c r="M24" s="7" t="n"/>
      <c r="N24" s="7" t="n"/>
      <c r="O24" s="7" t="n"/>
      <c r="P24" s="7" t="n"/>
      <c r="Q24" s="7" t="n"/>
      <c r="R24" s="7" t="n"/>
      <c r="S24" s="8" t="inlineStr">
        <is>
          <t>Встраиваемый</t>
        </is>
      </c>
      <c r="T24" s="7" t="n"/>
      <c r="U24" s="7" t="n"/>
      <c r="V24" s="7" t="n"/>
      <c r="W24" s="7" t="n"/>
      <c r="X24" s="7" t="n"/>
      <c r="Y24" s="7" t="n"/>
      <c r="Z24" s="7" t="n"/>
      <c r="AA24" s="7" t="n"/>
      <c r="AB24" s="7" t="n"/>
      <c r="AC24" s="7" t="n"/>
      <c r="AD24" s="8" t="inlineStr">
        <is>
          <t>Черный</t>
        </is>
      </c>
      <c r="AE24" s="7" t="n"/>
      <c r="AF24" s="7" t="n"/>
      <c r="AG24" s="8" t="inlineStr">
        <is>
          <t>Черный</t>
        </is>
      </c>
      <c r="AH24" s="7" t="n"/>
      <c r="AI24" s="7" t="n"/>
      <c r="AJ24" s="7" t="n"/>
      <c r="AK24" s="7" t="n"/>
      <c r="AL24" s="7" t="n"/>
      <c r="AM24" s="7" t="n"/>
      <c r="AN24" s="7" t="n"/>
    </row>
    <row r="25" ht="33" customHeight="1">
      <c r="A25" s="5" t="inlineStr">
        <is>
          <t>SMEG Винный шкаф встраиваемый, высота 45 см, CVI120B3E, ЧЕРНОЕ СТЕКЛО (арт. 8017709356415)</t>
        </is>
      </c>
      <c r="B25" s="10" t="inlineStr">
        <is>
          <t>CVI120B3E</t>
        </is>
      </c>
      <c r="C25" s="8" t="inlineStr">
        <is>
          <t>Актуальный ассортимент VARKA</t>
        </is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8" t="inlineStr">
        <is>
          <t>Черное стекло</t>
        </is>
      </c>
      <c r="AE25" s="7" t="n"/>
      <c r="AF25" s="7" t="n"/>
      <c r="AG25" s="8" t="inlineStr">
        <is>
          <t>Черный</t>
        </is>
      </c>
      <c r="AH25" s="7" t="n"/>
      <c r="AI25" s="7" t="n"/>
      <c r="AJ25" s="7" t="n"/>
      <c r="AK25" s="7" t="n"/>
      <c r="AL25" s="7" t="n"/>
      <c r="AM25" s="7" t="n"/>
      <c r="AN25" s="7" t="n"/>
    </row>
    <row r="26" ht="33" customHeight="1">
      <c r="A26" s="5" t="inlineStr">
        <is>
          <t>SMEG Винный шкаф отдельностоящий SCV115GS, 60 см, НЕРЖ. СТАЛЬ (арт. 8017709340391)</t>
        </is>
      </c>
      <c r="B26" s="10" t="inlineStr">
        <is>
          <t>SCV115GS</t>
        </is>
      </c>
      <c r="C26" s="8" t="inlineStr">
        <is>
          <t>Актуальный ассортимент VARKA</t>
        </is>
      </c>
      <c r="D26" s="7" t="n"/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7" t="n"/>
      <c r="Y26" s="7" t="n"/>
      <c r="Z26" s="7" t="n"/>
      <c r="AA26" s="7" t="n"/>
      <c r="AB26" s="7" t="n"/>
      <c r="AC26" s="7" t="n"/>
      <c r="AD26" s="8" t="inlineStr">
        <is>
          <t>Нержавеющая сталь</t>
        </is>
      </c>
      <c r="AE26" s="7" t="n"/>
      <c r="AF26" s="7" t="n"/>
      <c r="AG26" s="8" t="inlineStr">
        <is>
          <t>Нержавеющая сталь</t>
        </is>
      </c>
      <c r="AH26" s="7" t="n"/>
      <c r="AI26" s="7" t="n"/>
      <c r="AJ26" s="7" t="n"/>
      <c r="AK26" s="7" t="n"/>
      <c r="AL26" s="7" t="n"/>
      <c r="AM26" s="7" t="n"/>
      <c r="AN26" s="7" t="n"/>
    </row>
    <row r="27" ht="33" customHeight="1">
      <c r="A27" s="5" t="inlineStr">
        <is>
          <t>УЦЕНКА - SMEG  Винный шкаф CVI618RWNR2 - ВЫСТ. ОБР.</t>
        </is>
      </c>
      <c r="B27" s="10" t="inlineStr">
        <is>
          <t>CVI618RWNR2 (УЦЕНКА)</t>
        </is>
      </c>
      <c r="C27" s="8" t="inlineStr">
        <is>
          <t>Актуальный ассортимент VARKA</t>
        </is>
      </c>
      <c r="D27" s="8" t="inlineStr">
        <is>
          <t>Да</t>
        </is>
      </c>
      <c r="E27" s="8" t="inlineStr">
        <is>
          <t>Современный</t>
        </is>
      </c>
      <c r="F27" s="8" t="inlineStr">
        <is>
          <t>Италия</t>
        </is>
      </c>
      <c r="G27" s="7" t="n"/>
      <c r="H27" s="8" t="inlineStr">
        <is>
          <t>1 зона</t>
        </is>
      </c>
      <c r="I27" s="7" t="n"/>
      <c r="J27" s="7" t="n"/>
      <c r="K27" s="7" t="n"/>
      <c r="L27" s="8" t="inlineStr">
        <is>
          <t>Компрессор с пониженной выбрацией</t>
        </is>
      </c>
      <c r="M27" s="8" t="inlineStr">
        <is>
          <t>Электронный</t>
        </is>
      </c>
      <c r="N27" s="7" t="n"/>
      <c r="O27" s="7" t="n"/>
      <c r="P27" s="7" t="n"/>
      <c r="Q27" s="7" t="n"/>
      <c r="R27" s="7" t="n"/>
      <c r="S27" s="7" t="n"/>
      <c r="T27" s="8" t="inlineStr">
        <is>
          <t>Внешнее, на дверце</t>
        </is>
      </c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8" t="inlineStr">
        <is>
          <t>Черный</t>
        </is>
      </c>
      <c r="AE27" s="7" t="n"/>
      <c r="AF27" s="8" t="inlineStr">
        <is>
          <t>Черный</t>
        </is>
      </c>
      <c r="AG27" s="8" t="inlineStr">
        <is>
          <t>Черный</t>
        </is>
      </c>
      <c r="AH27" s="7" t="n"/>
      <c r="AI27" s="8" t="inlineStr">
        <is>
          <t>50</t>
        </is>
      </c>
      <c r="AJ27" s="7" t="n"/>
      <c r="AK27" s="7" t="n"/>
      <c r="AL27" s="8" t="inlineStr">
        <is>
          <t>600 мм</t>
        </is>
      </c>
      <c r="AM27" s="7" t="n"/>
      <c r="AN27" s="7" t="n"/>
    </row>
    <row r="28" ht="11.45" customHeight="1">
      <c r="C28" s="1">
        <f>COUNTIF(C2:C27, C3)</f>
        <v/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Элиза Лобанова</dc:creator>
  <dcterms:created xsi:type="dcterms:W3CDTF">2025-08-29T10:13:40Z</dcterms:created>
  <dcterms:modified xsi:type="dcterms:W3CDTF">2025-08-29T10:26:33Z</dcterms:modified>
  <cp:lastModifiedBy>Элиза Лобанова</cp:lastModifiedBy>
</cp:coreProperties>
</file>