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185" windowHeight="5918" tabRatio="600" firstSheet="0" activeTab="0" autoFilterDateGrouping="1"/>
  </bookViews>
  <sheets>
    <sheet name="TDShee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7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K5"/>
  <sheetViews>
    <sheetView tabSelected="1" workbookViewId="0">
      <selection activeCell="D6" sqref="D6"/>
    </sheetView>
  </sheetViews>
  <sheetFormatPr baseColWidth="8" defaultColWidth="10.4140625" defaultRowHeight="11.45" customHeight="1"/>
  <cols>
    <col width="35.75" customWidth="1" style="2" min="1" max="1"/>
    <col width="22.83203125" customWidth="1" style="1" min="2" max="2"/>
    <col width="21" customWidth="1" style="1" min="3" max="3"/>
    <col width="19.1640625" customWidth="1" style="1" min="4" max="11"/>
  </cols>
  <sheetData>
    <row r="1" ht="33" customHeight="1">
      <c r="A1" s="3" t="inlineStr">
        <is>
          <t>Номенклатура</t>
        </is>
      </c>
      <c r="B1" s="4" t="inlineStr">
        <is>
          <t>^Бук. Арт.</t>
        </is>
      </c>
      <c r="C1" s="4" t="inlineStr">
        <is>
          <t>^Циф. Арт.</t>
        </is>
      </c>
      <c r="D1" s="3" t="inlineStr">
        <is>
          <t>СТАТУС</t>
        </is>
      </c>
      <c r="E1" s="3" t="inlineStr">
        <is>
          <t>СТИЛЬ</t>
        </is>
      </c>
      <c r="F1" s="3" t="inlineStr">
        <is>
          <t>СТРАНА ПРОИЗВОДСТВА</t>
        </is>
      </c>
      <c r="G1" s="3" t="inlineStr">
        <is>
          <t>ТИП УСТАНОВКИ (КБТ)</t>
        </is>
      </c>
      <c r="H1" s="3" t="inlineStr">
        <is>
          <t>ФУРНИТУРА</t>
        </is>
      </c>
      <c r="I1" s="3" t="inlineStr">
        <is>
          <t>ЦВЕТ ПО КАТАЛОГУ (для характеристик на сайте)</t>
        </is>
      </c>
      <c r="J1" s="3" t="inlineStr">
        <is>
          <t>ЦВЕТ ФИЛЬТР (для сайта, условный)</t>
        </is>
      </c>
      <c r="K1" s="3" t="inlineStr">
        <is>
          <t>ШИРИНА КБТ (условная)</t>
        </is>
      </c>
    </row>
    <row r="2" ht="33" customHeight="1">
      <c r="A2" s="5" t="inlineStr">
        <is>
          <t>GRAUDE Винный шкаф встраиваемый 45 см., FWK 45.2, ЧЕРНЫЙ (арт. 4260475245122)</t>
        </is>
      </c>
      <c r="B2" s="10" t="inlineStr">
        <is>
          <t>FWK 45.2</t>
        </is>
      </c>
      <c r="C2" s="7" t="n">
        <v>4260475245122</v>
      </c>
      <c r="D2" s="8" t="inlineStr">
        <is>
          <t>Актуальный ассортимент VARKA</t>
        </is>
      </c>
      <c r="E2" s="9" t="n"/>
      <c r="F2" s="9" t="n"/>
      <c r="G2" s="8" t="inlineStr">
        <is>
          <t>Встраиваемый</t>
        </is>
      </c>
      <c r="H2" s="9" t="n"/>
      <c r="I2" s="8" t="inlineStr">
        <is>
          <t>Черный</t>
        </is>
      </c>
      <c r="J2" s="8" t="inlineStr">
        <is>
          <t>Черный</t>
        </is>
      </c>
      <c r="K2" s="8" t="inlineStr">
        <is>
          <t>450 мм</t>
        </is>
      </c>
    </row>
    <row r="3" ht="33" customHeight="1">
      <c r="A3" s="5" t="inlineStr">
        <is>
          <t>GRAUDE Винный шкаф встраиваемый FWK 60.2, ЧЕРНЫЙ (арт. 4260475245139)</t>
        </is>
      </c>
      <c r="B3" s="10" t="inlineStr">
        <is>
          <t>FWK 60.2</t>
        </is>
      </c>
      <c r="C3" s="7" t="n">
        <v>4260475245139</v>
      </c>
      <c r="D3" s="8" t="inlineStr">
        <is>
          <t>Актуальный ассортимент VARKA</t>
        </is>
      </c>
      <c r="E3" s="9" t="n"/>
      <c r="F3" s="9" t="n"/>
      <c r="G3" s="8" t="inlineStr">
        <is>
          <t>Встраиваемый</t>
        </is>
      </c>
      <c r="H3" s="9" t="n"/>
      <c r="I3" s="8" t="inlineStr">
        <is>
          <t>Черный</t>
        </is>
      </c>
      <c r="J3" s="8" t="inlineStr">
        <is>
          <t>Черный</t>
        </is>
      </c>
      <c r="K3" s="8" t="inlineStr">
        <is>
          <t>600 мм</t>
        </is>
      </c>
    </row>
    <row r="4" ht="33" customHeight="1">
      <c r="A4" s="5" t="inlineStr">
        <is>
          <t>GRAUDE Винный шкаф встраиваемый под столеш. FWK 80.2, ЧЕРНЫЙ (арт. 4260475249137)</t>
        </is>
      </c>
      <c r="B4" s="10" t="inlineStr">
        <is>
          <t>FWK 80.2</t>
        </is>
      </c>
      <c r="C4" s="7" t="n">
        <v>4260475249137</v>
      </c>
      <c r="D4" s="8" t="inlineStr">
        <is>
          <t>Актуальный ассортимент VARKA</t>
        </is>
      </c>
      <c r="E4" s="9" t="n"/>
      <c r="F4" s="9" t="n"/>
      <c r="G4" s="8" t="inlineStr">
        <is>
          <t>Встраиваемый</t>
        </is>
      </c>
      <c r="H4" s="9" t="n"/>
      <c r="I4" s="8" t="inlineStr">
        <is>
          <t>Черный</t>
        </is>
      </c>
      <c r="J4" s="8" t="inlineStr">
        <is>
          <t>Черный</t>
        </is>
      </c>
      <c r="K4" s="8" t="inlineStr">
        <is>
          <t>600 мм</t>
        </is>
      </c>
    </row>
    <row r="5" ht="11.45" customHeight="1">
      <c r="D5" s="1">
        <f>COUNTIF(D2:D4, D2)</f>
        <v/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2025-09-18T03:17:54Z</dcterms:created>
  <dcterms:modified xsi:type="dcterms:W3CDTF">2025-09-18T03:21:13Z</dcterms:modified>
  <cp:lastModifiedBy>Элиза Лобанова</cp:lastModifiedBy>
</cp:coreProperties>
</file>